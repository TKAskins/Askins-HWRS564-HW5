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7235" windowHeight="24570"/>
  </bookViews>
  <sheets>
    <sheet name="vanGenuchten Parameters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7" i="1" l="1"/>
  <c r="A6" i="1"/>
  <c r="A5" i="1"/>
  <c r="A3" i="1"/>
  <c r="A4" i="1"/>
  <c r="A8" i="1"/>
  <c r="A9" i="1"/>
  <c r="A10" i="1"/>
  <c r="A11" i="1"/>
  <c r="A12" i="1"/>
  <c r="A13" i="1"/>
  <c r="A2" i="1"/>
</calcChain>
</file>

<file path=xl/sharedStrings.xml><?xml version="1.0" encoding="utf-8"?>
<sst xmlns="http://schemas.openxmlformats.org/spreadsheetml/2006/main" count="45" uniqueCount="34">
  <si>
    <t>theta_r</t>
  </si>
  <si>
    <t>theta_s</t>
  </si>
  <si>
    <t>n</t>
  </si>
  <si>
    <t>L</t>
  </si>
  <si>
    <t>alpha (1/cm)</t>
  </si>
  <si>
    <t>Ks (cm/day)</t>
  </si>
  <si>
    <t>94.0</t>
  </si>
  <si>
    <t xml:space="preserve">6.0 </t>
  </si>
  <si>
    <t xml:space="preserve"> 0.0</t>
  </si>
  <si>
    <t>86.0</t>
  </si>
  <si>
    <t>14.0</t>
  </si>
  <si>
    <t>82.0</t>
  </si>
  <si>
    <t>18.0</t>
  </si>
  <si>
    <t>54.0</t>
  </si>
  <si>
    <t>10.0</t>
  </si>
  <si>
    <t>36.0</t>
  </si>
  <si>
    <t>40.0</t>
  </si>
  <si>
    <t xml:space="preserve"> 6.0</t>
  </si>
  <si>
    <t>50.0</t>
  </si>
  <si>
    <t>26.0</t>
  </si>
  <si>
    <t>24.0</t>
  </si>
  <si>
    <t>44.0</t>
  </si>
  <si>
    <t xml:space="preserve">2.0 </t>
  </si>
  <si>
    <t>48.0</t>
  </si>
  <si>
    <t>20.0</t>
  </si>
  <si>
    <t>32.0</t>
  </si>
  <si>
    <t xml:space="preserve">0.0 </t>
  </si>
  <si>
    <t>68.0</t>
  </si>
  <si>
    <t>52.0</t>
  </si>
  <si>
    <t>22.0</t>
  </si>
  <si>
    <t>34.0</t>
  </si>
  <si>
    <t>Sand</t>
  </si>
  <si>
    <t>Silt</t>
  </si>
  <si>
    <t>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</si>
</sst>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rek.Groenendyk/Desktop/soi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ils"/>
    </sheetNames>
    <sheetDataSet>
      <sheetData sheetId="0">
        <row r="3">
          <cell r="B3" t="str">
            <v>'Sand</v>
          </cell>
        </row>
        <row r="4">
          <cell r="B4" t="str">
            <v>'Loamy Sand</v>
          </cell>
        </row>
        <row r="5">
          <cell r="B5" t="str">
            <v>'Sandy Loam</v>
          </cell>
        </row>
        <row r="6">
          <cell r="B6" t="str">
            <v>'Loam</v>
          </cell>
        </row>
        <row r="7">
          <cell r="B7" t="str">
            <v>'Silt</v>
          </cell>
        </row>
        <row r="8">
          <cell r="B8" t="str">
            <v>'Silt Loam</v>
          </cell>
        </row>
        <row r="9">
          <cell r="B9" t="str">
            <v>'Sandy Clay Loam</v>
          </cell>
        </row>
        <row r="10">
          <cell r="B10" t="str">
            <v>'Clay Loam</v>
          </cell>
        </row>
        <row r="11">
          <cell r="B11" t="str">
            <v>'Silty Clay Laom</v>
          </cell>
        </row>
        <row r="12">
          <cell r="B12" t="str">
            <v>'Sandy Clay</v>
          </cell>
        </row>
        <row r="13">
          <cell r="B13" t="str">
            <v>'Silty Clay</v>
          </cell>
        </row>
        <row r="14">
          <cell r="B14" t="str">
            <v>'Clay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C13" sqref="C13"/>
    </sheetView>
  </sheetViews>
  <sheetFormatPr defaultColWidth="12" defaultRowHeight="15" x14ac:dyDescent="0.25"/>
  <cols>
    <col min="1" max="1" width="16.140625" style="1" customWidth="1"/>
    <col min="2" max="16384" width="12" style="1"/>
  </cols>
  <sheetData>
    <row r="1" spans="1:11" x14ac:dyDescent="0.25">
      <c r="B1" s="2" t="s">
        <v>0</v>
      </c>
      <c r="C1" s="2" t="s">
        <v>1</v>
      </c>
      <c r="D1" s="2" t="s">
        <v>4</v>
      </c>
      <c r="E1" s="2" t="s">
        <v>2</v>
      </c>
      <c r="F1" s="2" t="s">
        <v>5</v>
      </c>
      <c r="G1" s="2" t="s">
        <v>3</v>
      </c>
      <c r="H1" s="2"/>
      <c r="I1" s="2" t="s">
        <v>31</v>
      </c>
      <c r="J1" s="2" t="s">
        <v>32</v>
      </c>
      <c r="K1" s="2" t="s">
        <v>33</v>
      </c>
    </row>
    <row r="2" spans="1:11" x14ac:dyDescent="0.25">
      <c r="A2" s="3" t="str">
        <f>RIGHT([1]soils!B3,LEN([1]soils!B3)-1)</f>
        <v>Sand</v>
      </c>
      <c r="B2" s="1">
        <v>4.4999999999999998E-2</v>
      </c>
      <c r="C2" s="1">
        <v>0.43</v>
      </c>
      <c r="D2" s="1">
        <v>0.14499999999999999</v>
      </c>
      <c r="E2" s="1">
        <v>2.68</v>
      </c>
      <c r="F2" s="1">
        <v>712.8</v>
      </c>
      <c r="G2" s="1">
        <v>0.5</v>
      </c>
      <c r="I2" s="1" t="s">
        <v>6</v>
      </c>
      <c r="J2" s="1" t="s">
        <v>7</v>
      </c>
      <c r="K2" s="1" t="s">
        <v>8</v>
      </c>
    </row>
    <row r="3" spans="1:11" x14ac:dyDescent="0.25">
      <c r="A3" s="3" t="str">
        <f>RIGHT([1]soils!B4,LEN([1]soils!B4)-1)</f>
        <v>Loamy Sand</v>
      </c>
      <c r="B3" s="1">
        <v>5.7000000000000002E-2</v>
      </c>
      <c r="C3" s="1">
        <v>0.41</v>
      </c>
      <c r="D3" s="1">
        <v>0.124</v>
      </c>
      <c r="E3" s="1">
        <v>2.2799999999999998</v>
      </c>
      <c r="F3" s="1">
        <v>350.2</v>
      </c>
      <c r="G3" s="1">
        <v>0.5</v>
      </c>
      <c r="I3" s="1" t="s">
        <v>9</v>
      </c>
      <c r="J3" s="1" t="s">
        <v>10</v>
      </c>
      <c r="K3" s="1" t="s">
        <v>8</v>
      </c>
    </row>
    <row r="4" spans="1:11" x14ac:dyDescent="0.25">
      <c r="A4" s="3" t="str">
        <f>RIGHT([1]soils!B5,LEN([1]soils!B5)-1)</f>
        <v>Sandy Loam</v>
      </c>
      <c r="B4" s="1">
        <v>6.5000000000000002E-2</v>
      </c>
      <c r="C4" s="1">
        <v>0.41</v>
      </c>
      <c r="D4" s="1">
        <v>7.4999999999999997E-2</v>
      </c>
      <c r="E4" s="1">
        <v>1.89</v>
      </c>
      <c r="F4" s="1">
        <v>106.1</v>
      </c>
      <c r="G4" s="1">
        <v>0.5</v>
      </c>
      <c r="I4" s="1" t="s">
        <v>11</v>
      </c>
      <c r="J4" s="1" t="s">
        <v>12</v>
      </c>
      <c r="K4" s="1" t="s">
        <v>8</v>
      </c>
    </row>
    <row r="5" spans="1:11" x14ac:dyDescent="0.25">
      <c r="A5" s="3" t="str">
        <f>RIGHT([1]soils!B6,LEN([1]soils!B6)-1)</f>
        <v>Loam</v>
      </c>
      <c r="B5" s="1">
        <v>7.8E-2</v>
      </c>
      <c r="C5" s="1">
        <v>0.43</v>
      </c>
      <c r="D5" s="1">
        <v>3.5999999999999997E-2</v>
      </c>
      <c r="E5" s="1">
        <v>1.56</v>
      </c>
      <c r="F5" s="1">
        <v>24.96</v>
      </c>
      <c r="G5" s="1">
        <v>0.5</v>
      </c>
      <c r="I5" s="1" t="s">
        <v>13</v>
      </c>
      <c r="J5" s="1" t="s">
        <v>14</v>
      </c>
      <c r="K5" s="1" t="s">
        <v>15</v>
      </c>
    </row>
    <row r="6" spans="1:11" x14ac:dyDescent="0.25">
      <c r="A6" s="3" t="str">
        <f>RIGHT([1]soils!B7,LEN([1]soils!B7)-1)</f>
        <v>Silt</v>
      </c>
      <c r="B6" s="1">
        <v>3.4000000000000002E-2</v>
      </c>
      <c r="C6" s="1">
        <v>0.46</v>
      </c>
      <c r="D6" s="1">
        <v>1.6E-2</v>
      </c>
      <c r="E6" s="1">
        <v>1.37</v>
      </c>
      <c r="F6" s="1">
        <v>6</v>
      </c>
      <c r="G6" s="1">
        <v>0.5</v>
      </c>
      <c r="I6" s="1" t="s">
        <v>13</v>
      </c>
      <c r="J6" s="1" t="s">
        <v>16</v>
      </c>
      <c r="K6" s="1" t="s">
        <v>17</v>
      </c>
    </row>
    <row r="7" spans="1:11" x14ac:dyDescent="0.25">
      <c r="A7" s="3" t="str">
        <f>RIGHT([1]soils!B8,LEN([1]soils!B8)-1)</f>
        <v>Silt Loam</v>
      </c>
      <c r="B7" s="1">
        <v>6.7000000000000004E-2</v>
      </c>
      <c r="C7" s="1">
        <v>0.45</v>
      </c>
      <c r="D7" s="1">
        <v>0.02</v>
      </c>
      <c r="E7" s="1">
        <v>1.41</v>
      </c>
      <c r="F7" s="1">
        <v>10.8</v>
      </c>
      <c r="G7" s="1">
        <v>0.5</v>
      </c>
      <c r="I7" s="1" t="s">
        <v>18</v>
      </c>
      <c r="J7" s="1" t="s">
        <v>19</v>
      </c>
      <c r="K7" s="1" t="s">
        <v>20</v>
      </c>
    </row>
    <row r="8" spans="1:11" x14ac:dyDescent="0.25">
      <c r="A8" s="3" t="str">
        <f>RIGHT([1]soils!B9,LEN([1]soils!B9)-1)</f>
        <v>Sandy Clay Loam</v>
      </c>
      <c r="B8" s="1">
        <v>0.1</v>
      </c>
      <c r="C8" s="1">
        <v>0.39</v>
      </c>
      <c r="D8" s="1">
        <v>5.8999999999999997E-2</v>
      </c>
      <c r="E8" s="1">
        <v>1.48</v>
      </c>
      <c r="F8" s="1">
        <v>31.44</v>
      </c>
      <c r="G8" s="1">
        <v>0.5</v>
      </c>
      <c r="I8" s="1" t="s">
        <v>21</v>
      </c>
      <c r="J8" s="1" t="s">
        <v>22</v>
      </c>
      <c r="K8" s="1" t="s">
        <v>13</v>
      </c>
    </row>
    <row r="9" spans="1:11" x14ac:dyDescent="0.25">
      <c r="A9" s="3" t="str">
        <f>RIGHT([1]soils!B10,LEN([1]soils!B10)-1)</f>
        <v>Clay Loam</v>
      </c>
      <c r="B9" s="1">
        <v>9.5000000000000001E-2</v>
      </c>
      <c r="C9" s="1">
        <v>0.41</v>
      </c>
      <c r="D9" s="1">
        <v>1.9E-2</v>
      </c>
      <c r="E9" s="1">
        <v>1.31</v>
      </c>
      <c r="F9" s="1">
        <v>6.24</v>
      </c>
      <c r="G9" s="1">
        <v>0.5</v>
      </c>
      <c r="I9" s="1" t="s">
        <v>19</v>
      </c>
      <c r="J9" s="1" t="s">
        <v>19</v>
      </c>
      <c r="K9" s="1" t="s">
        <v>23</v>
      </c>
    </row>
    <row r="10" spans="1:11" x14ac:dyDescent="0.25">
      <c r="A10" s="3" t="str">
        <f>RIGHT([1]soils!B11,LEN([1]soils!B11)-1)</f>
        <v>Silty Clay Laom</v>
      </c>
      <c r="B10" s="1">
        <v>8.8999999999999996E-2</v>
      </c>
      <c r="C10" s="1">
        <v>0.43</v>
      </c>
      <c r="D10" s="1">
        <v>0.01</v>
      </c>
      <c r="E10" s="1">
        <v>1.23</v>
      </c>
      <c r="F10" s="1">
        <v>1.68</v>
      </c>
      <c r="G10" s="1">
        <v>0.5</v>
      </c>
      <c r="I10" s="1" t="s">
        <v>24</v>
      </c>
      <c r="J10" s="1" t="s">
        <v>21</v>
      </c>
      <c r="K10" s="1" t="s">
        <v>15</v>
      </c>
    </row>
    <row r="11" spans="1:11" x14ac:dyDescent="0.25">
      <c r="A11" s="3" t="str">
        <f>RIGHT([1]soils!B12,LEN([1]soils!B12)-1)</f>
        <v>Sandy Clay</v>
      </c>
      <c r="B11" s="1">
        <v>0.1</v>
      </c>
      <c r="C11" s="1">
        <v>0.38</v>
      </c>
      <c r="D11" s="1">
        <v>2.7E-2</v>
      </c>
      <c r="E11" s="1">
        <v>1.23</v>
      </c>
      <c r="F11" s="1">
        <v>2.88</v>
      </c>
      <c r="G11" s="1">
        <v>0.5</v>
      </c>
      <c r="I11" s="1" t="s">
        <v>25</v>
      </c>
      <c r="J11" s="1" t="s">
        <v>26</v>
      </c>
      <c r="K11" s="1" t="s">
        <v>27</v>
      </c>
    </row>
    <row r="12" spans="1:11" x14ac:dyDescent="0.25">
      <c r="A12" s="3" t="str">
        <f>RIGHT([1]soils!B13,LEN([1]soils!B13)-1)</f>
        <v>Silty Clay</v>
      </c>
      <c r="B12" s="1">
        <v>7.0000000000000007E-2</v>
      </c>
      <c r="C12" s="1">
        <v>0.36</v>
      </c>
      <c r="D12" s="1">
        <v>5.0000000000000001E-3</v>
      </c>
      <c r="E12" s="1">
        <v>1.0900000000000001</v>
      </c>
      <c r="F12" s="1">
        <v>0.48</v>
      </c>
      <c r="G12" s="1">
        <v>0.5</v>
      </c>
      <c r="I12" s="1" t="s">
        <v>19</v>
      </c>
      <c r="J12" s="1" t="s">
        <v>28</v>
      </c>
      <c r="K12" s="1" t="s">
        <v>29</v>
      </c>
    </row>
    <row r="13" spans="1:11" x14ac:dyDescent="0.25">
      <c r="A13" s="3" t="str">
        <f>RIGHT([1]soils!B14,LEN([1]soils!B14)-1)</f>
        <v>Clay</v>
      </c>
      <c r="B13" s="1">
        <v>6.8000000000000005E-2</v>
      </c>
      <c r="C13" s="1">
        <v>0.38</v>
      </c>
      <c r="D13" s="1">
        <v>8.0000000000000002E-3</v>
      </c>
      <c r="E13" s="1">
        <v>1.0900000000000001</v>
      </c>
      <c r="F13" s="1">
        <v>4.8</v>
      </c>
      <c r="G13" s="1">
        <v>0.5</v>
      </c>
      <c r="I13" s="1" t="s">
        <v>30</v>
      </c>
      <c r="J13" s="1" t="s">
        <v>21</v>
      </c>
      <c r="K13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vanGenuchten Parameters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Derek.Groenendyk</dc:creator>
  <cp:lastModifiedBy>Derek</cp:lastModifiedBy>
  <dcterms:created xsi:type="dcterms:W3CDTF">2016-08-05T16:45:23Z</dcterms:created>
  <dcterms:modified xsi:type="dcterms:W3CDTF">2016-08-05T17:03:20Z</dcterms:modified>
</cp:coreProperties>
</file>